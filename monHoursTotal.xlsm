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lfi\sourcecode\monHourToral\"/>
    </mc:Choice>
  </mc:AlternateContent>
  <xr:revisionPtr revIDLastSave="0" documentId="13_ncr:1_{E3F3281E-2336-4BDC-B662-108158F3C181}" xr6:coauthVersionLast="47" xr6:coauthVersionMax="47" xr10:uidLastSave="{00000000-0000-0000-0000-000000000000}"/>
  <bookViews>
    <workbookView xWindow="28680" yWindow="-120" windowWidth="29040" windowHeight="15840" xr2:uid="{F11AE3A7-A577-4CA3-9586-354B2ED26DB9}"/>
  </bookViews>
  <sheets>
    <sheet name="レコード" sheetId="1" r:id="rId1"/>
    <sheet name="メンバー" sheetId="2" r:id="rId2"/>
    <sheet name="工程コード" sheetId="9" r:id="rId3"/>
    <sheet name="工数(工程コード別)" sheetId="25" r:id="rId4"/>
    <sheet name="コスト(工程コード別)" sheetId="30" r:id="rId5"/>
    <sheet name="工数(工程別)" sheetId="28" r:id="rId6"/>
    <sheet name="コスト(工程別)" sheetId="29" r:id="rId7"/>
  </sheets>
  <functionGroups builtInGroupCount="19"/>
  <definedNames>
    <definedName name="_xlnm._FilterDatabase" localSheetId="0" hidden="1">レコード!$A$1:$H$32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4" i="29" l="1"/>
  <c r="G14" i="29"/>
  <c r="F14" i="29"/>
  <c r="E14" i="29"/>
  <c r="D14" i="29"/>
  <c r="C14" i="29"/>
  <c r="I13" i="29"/>
  <c r="I12" i="29"/>
  <c r="I11" i="29"/>
  <c r="I10" i="29"/>
  <c r="I9" i="29"/>
  <c r="I8" i="29"/>
  <c r="I7" i="29"/>
  <c r="I6" i="29"/>
  <c r="I5" i="29"/>
  <c r="H14" i="28"/>
  <c r="G14" i="28"/>
  <c r="F14" i="28"/>
  <c r="E14" i="28"/>
  <c r="D14" i="28"/>
  <c r="C14" i="28"/>
  <c r="I13" i="28"/>
  <c r="I12" i="28"/>
  <c r="I11" i="28"/>
  <c r="I10" i="28"/>
  <c r="I9" i="28"/>
  <c r="I8" i="28"/>
  <c r="I7" i="28"/>
  <c r="I6" i="28"/>
  <c r="I5" i="28"/>
  <c r="I22" i="30"/>
  <c r="H22" i="30"/>
  <c r="G22" i="30"/>
  <c r="F22" i="30"/>
  <c r="E22" i="30"/>
  <c r="D22" i="30"/>
  <c r="J21" i="30"/>
  <c r="J20" i="30"/>
  <c r="J19" i="30"/>
  <c r="J18" i="30"/>
  <c r="J17" i="30"/>
  <c r="J16" i="30"/>
  <c r="J15" i="30"/>
  <c r="J14" i="30"/>
  <c r="J13" i="30"/>
  <c r="J12" i="30"/>
  <c r="J11" i="30"/>
  <c r="J10" i="30"/>
  <c r="J9" i="30"/>
  <c r="J8" i="30"/>
  <c r="J7" i="30"/>
  <c r="J6" i="30"/>
  <c r="J5" i="30"/>
  <c r="I22" i="25"/>
  <c r="H22" i="25"/>
  <c r="G22" i="25"/>
  <c r="F22" i="25"/>
  <c r="E22" i="25"/>
  <c r="D22" i="25"/>
  <c r="J21" i="25"/>
  <c r="J20" i="25"/>
  <c r="J19" i="25"/>
  <c r="J18" i="25"/>
  <c r="J17" i="25"/>
  <c r="J16" i="25"/>
  <c r="J15" i="25"/>
  <c r="J14" i="25"/>
  <c r="J13" i="25"/>
  <c r="J12" i="25"/>
  <c r="J11" i="25"/>
  <c r="J10" i="25"/>
  <c r="J9" i="25"/>
  <c r="J8" i="25"/>
  <c r="J7" i="25"/>
  <c r="J6" i="25"/>
  <c r="J5" i="25"/>
  <c r="I14" i="29" l="1"/>
  <c r="I14" i="28"/>
  <c r="J22" i="30"/>
  <c r="J22" i="25"/>
</calcChain>
</file>

<file path=xl/sharedStrings.xml><?xml version="1.0" encoding="utf-8"?>
<sst xmlns="http://schemas.openxmlformats.org/spreadsheetml/2006/main" count="248" uniqueCount="73">
  <si>
    <t>田中 歩</t>
  </si>
  <si>
    <t>濱口 大地</t>
  </si>
  <si>
    <t>西川 俊一郎</t>
  </si>
  <si>
    <t>(なし)</t>
  </si>
  <si>
    <t>その他</t>
    <rPh sb="2" eb="3">
      <t>タ</t>
    </rPh>
    <phoneticPr fontId="1"/>
  </si>
  <si>
    <t>工程</t>
  </si>
  <si>
    <t>その他</t>
  </si>
  <si>
    <t>メンバー</t>
  </si>
  <si>
    <t>メンバー別工数[h]</t>
  </si>
  <si>
    <t>工数[h]</t>
  </si>
  <si>
    <t>メンバー別コスト[円]</t>
  </si>
  <si>
    <t>コスト[円]</t>
  </si>
  <si>
    <t>■工数(工程別)</t>
  </si>
  <si>
    <t>■コスト(工程別)</t>
  </si>
  <si>
    <t>社員コード</t>
    <rPh sb="0" eb="2">
      <t>シャイン</t>
    </rPh>
    <phoneticPr fontId="1"/>
  </si>
  <si>
    <t>名前</t>
    <rPh sb="0" eb="2">
      <t>ナマエ</t>
    </rPh>
    <phoneticPr fontId="1"/>
  </si>
  <si>
    <t>要件定義</t>
  </si>
  <si>
    <t>要件定義</t>
    <rPh sb="0" eb="4">
      <t>ヨウケンテイギ</t>
    </rPh>
    <phoneticPr fontId="1"/>
  </si>
  <si>
    <t>基本設計</t>
  </si>
  <si>
    <t>基本設計</t>
    <rPh sb="0" eb="4">
      <t>キホンセッケイ</t>
    </rPh>
    <phoneticPr fontId="1"/>
  </si>
  <si>
    <t>詳細設計</t>
  </si>
  <si>
    <t>詳細設計</t>
    <rPh sb="0" eb="2">
      <t>ショウサイ</t>
    </rPh>
    <rPh sb="2" eb="4">
      <t>セッケイ</t>
    </rPh>
    <phoneticPr fontId="1"/>
  </si>
  <si>
    <t>実装</t>
  </si>
  <si>
    <t>実装</t>
    <rPh sb="0" eb="2">
      <t>ジッソウ</t>
    </rPh>
    <phoneticPr fontId="1"/>
  </si>
  <si>
    <t>単体テスト</t>
  </si>
  <si>
    <t>単体テスト</t>
    <rPh sb="0" eb="2">
      <t>タンタイ</t>
    </rPh>
    <phoneticPr fontId="1"/>
  </si>
  <si>
    <t>結合テスト</t>
  </si>
  <si>
    <t>結合テスト</t>
    <rPh sb="0" eb="2">
      <t>ケツゴウ</t>
    </rPh>
    <phoneticPr fontId="1"/>
  </si>
  <si>
    <t>総合テスト</t>
  </si>
  <si>
    <t>総合テスト</t>
    <rPh sb="0" eb="2">
      <t>ソウゴウ</t>
    </rPh>
    <phoneticPr fontId="1"/>
  </si>
  <si>
    <t>受入テスト</t>
  </si>
  <si>
    <t>受入テスト</t>
    <rPh sb="0" eb="2">
      <t>ウケイレ</t>
    </rPh>
    <phoneticPr fontId="1"/>
  </si>
  <si>
    <t>工程コード</t>
  </si>
  <si>
    <t>工程コード</t>
    <rPh sb="0" eb="2">
      <t>コウテイ</t>
    </rPh>
    <phoneticPr fontId="1"/>
  </si>
  <si>
    <t>工程</t>
    <rPh sb="0" eb="2">
      <t>コウテイ</t>
    </rPh>
    <phoneticPr fontId="1"/>
  </si>
  <si>
    <t>高井 優美</t>
  </si>
  <si>
    <t>村井 智恵</t>
  </si>
  <si>
    <t>市原 有里</t>
  </si>
  <si>
    <t>MHT-1-1</t>
  </si>
  <si>
    <t>MHT-1-2</t>
  </si>
  <si>
    <t>MHT-1-3</t>
  </si>
  <si>
    <t>MHT-1-4</t>
  </si>
  <si>
    <t>MHT-1-5</t>
  </si>
  <si>
    <t>MHT-1-6</t>
  </si>
  <si>
    <t>MHT-1-7</t>
  </si>
  <si>
    <t>MHT-1-8</t>
  </si>
  <si>
    <t>MHT-2</t>
  </si>
  <si>
    <t>MHT-3</t>
  </si>
  <si>
    <t>MHT-4</t>
  </si>
  <si>
    <t>MHT-5</t>
  </si>
  <si>
    <t>MHT-6</t>
  </si>
  <si>
    <t>MHT-7</t>
  </si>
  <si>
    <t>MHT-8</t>
  </si>
  <si>
    <t>MHT-9</t>
  </si>
  <si>
    <t>0332</t>
    <phoneticPr fontId="1"/>
  </si>
  <si>
    <t>単価[円]</t>
    <rPh sb="0" eb="2">
      <t>タンカ</t>
    </rPh>
    <rPh sb="3" eb="4">
      <t>エン</t>
    </rPh>
    <phoneticPr fontId="1"/>
  </si>
  <si>
    <t>工数</t>
    <rPh sb="0" eb="2">
      <t>コウスウ</t>
    </rPh>
    <phoneticPr fontId="1"/>
  </si>
  <si>
    <t>日付</t>
    <rPh sb="0" eb="2">
      <t>ヒヅケ</t>
    </rPh>
    <phoneticPr fontId="1"/>
  </si>
  <si>
    <t>西川 俊一郎</t>
    <phoneticPr fontId="1"/>
  </si>
  <si>
    <t>濱口 大地</t>
    <phoneticPr fontId="1"/>
  </si>
  <si>
    <t>高井 優美</t>
    <phoneticPr fontId="1"/>
  </si>
  <si>
    <t>村井 智恵</t>
    <phoneticPr fontId="1"/>
  </si>
  <si>
    <t>市原 有里</t>
    <phoneticPr fontId="1"/>
  </si>
  <si>
    <t>田中 歩</t>
    <phoneticPr fontId="1"/>
  </si>
  <si>
    <t>MHT-1-1</t>
    <phoneticPr fontId="1"/>
  </si>
  <si>
    <t>MHT-1-2</t>
    <phoneticPr fontId="1"/>
  </si>
  <si>
    <t>MHT-1-3</t>
    <phoneticPr fontId="1"/>
  </si>
  <si>
    <t>MHT-1-4</t>
    <phoneticPr fontId="1"/>
  </si>
  <si>
    <t>MHT-1-5</t>
    <phoneticPr fontId="1"/>
  </si>
  <si>
    <t>MHT-1-6</t>
    <phoneticPr fontId="1"/>
  </si>
  <si>
    <t>MHT-1-7</t>
    <phoneticPr fontId="1"/>
  </si>
  <si>
    <t>■工数(工程コード別)</t>
  </si>
  <si>
    <t>■コスト(工程コード別)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</si>
</sst>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 * #,##0_ ;_ * \-#,##0_ ;_ * &quot;-&quot;_ ;_ @_ "/>
    <numFmt numFmtId="176" formatCode="#,##0_ "/>
    <numFmt numFmtId="177" formatCode="0.00_ "/>
    <numFmt numFmtId="178" formatCode="#,##0_);[Red]\(#,##0\)"/>
    <numFmt numFmtId="179" formatCode="0.00_);[Red]\(0.00\)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0" fontId="0" fillId="0" borderId="1" xfId="0" applyBorder="1">
      <alignment vertical="center"/>
    </xf>
    <xf numFmtId="176" fontId="0" fillId="0" borderId="0" xfId="0" applyNumberFormat="1">
      <alignment vertical="center"/>
    </xf>
    <xf numFmtId="0" fontId="0" fillId="5" borderId="1" xfId="0" applyFill="1" applyBorder="1">
      <alignment vertical="center"/>
    </xf>
    <xf numFmtId="49" fontId="0" fillId="5" borderId="1" xfId="0" applyNumberFormat="1" applyFill="1" applyBorder="1">
      <alignment vertical="center"/>
    </xf>
    <xf numFmtId="49" fontId="0" fillId="0" borderId="1" xfId="0" applyNumberFormat="1" applyBorder="1">
      <alignment vertical="center"/>
    </xf>
    <xf numFmtId="49" fontId="0" fillId="0" borderId="0" xfId="0" applyNumberFormat="1">
      <alignment vertical="center"/>
    </xf>
    <xf numFmtId="176" fontId="0" fillId="0" borderId="1" xfId="0" applyNumberFormat="1" applyBorder="1">
      <alignment vertical="center"/>
    </xf>
    <xf numFmtId="14" fontId="0" fillId="0" borderId="0" xfId="0" applyNumberForma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77" fontId="0" fillId="0" borderId="0" xfId="0" applyNumberFormat="1" applyAlignment="1">
      <alignment horizontal="left" vertical="center"/>
    </xf>
    <xf numFmtId="41" fontId="0" fillId="0" borderId="0" xfId="0" applyNumberFormat="1" applyAlignment="1">
      <alignment horizontal="left" vertical="center"/>
    </xf>
    <xf numFmtId="178" fontId="0" fillId="0" borderId="0" xfId="0" applyNumberFormat="1">
      <alignment vertical="center"/>
    </xf>
    <xf numFmtId="41" fontId="0" fillId="0" borderId="0" xfId="0" applyNumberFormat="1">
      <alignment vertical="center"/>
    </xf>
    <xf numFmtId="179" fontId="0" fillId="0" borderId="0" xfId="0" applyNumberFormat="1" applyAlignment="1">
      <alignment horizontal="left" vertical="center"/>
    </xf>
    <xf numFmtId="177" fontId="0" fillId="8" borderId="0" xfId="0" applyNumberFormat="1" applyFill="1">
      <alignment vertical="center"/>
    </xf>
    <xf numFmtId="176" fontId="0" fillId="9" borderId="0" xfId="0" applyNumberFormat="1" applyFill="1">
      <alignment vertical="center"/>
    </xf>
    <xf numFmtId="177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7" borderId="0" xfId="0" applyFill="1">
      <alignment vertical="center"/>
    </xf>
    <xf numFmtId="0" fontId="0" fillId="3" borderId="0" xfId="0" applyFill="1">
      <alignment vertical="center"/>
    </xf>
    <xf numFmtId="0" fontId="0" fillId="6" borderId="0" xfId="0" applyFill="1">
      <alignment vertical="center"/>
    </xf>
    <xf numFmtId="0" fontId="0" fillId="10" borderId="0" xfId="0" applyFill="1">
      <alignment vertical="center"/>
    </xf>
    <xf numFmtId="0" fontId="0" fillId="4" borderId="0" xfId="0" applyFill="1">
      <alignment vertical="center"/>
    </xf>
    <xf numFmtId="22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179" fontId="0" fillId="0" borderId="0" xfId="0" applyNumberFormat="1" applyAlignment="1">
      <alignment vertical="center"/>
    </xf>
    <xf numFmtId="178" fontId="0" fillId="0" borderId="0" xfId="0" applyNumberFormat="1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A3886F-CDCA-4EF5-9C2A-1A86D28AEA92}">
  <sheetPr codeName="Sheet1"/>
  <dimension ref="A1:H32"/>
  <sheetViews>
    <sheetView tabSelected="1" workbookViewId="0"/>
  </sheetViews>
  <sheetFormatPr defaultRowHeight="18.75" x14ac:dyDescent="0.4"/>
  <cols>
    <col min="1" max="1" width="14.75" style="10" bestFit="1" customWidth="1"/>
    <col min="2" max="2" width="11" style="9" bestFit="1" customWidth="1"/>
    <col min="3" max="3" width="11.5" style="10" bestFit="1" customWidth="1"/>
    <col min="4" max="4" width="11.875" style="10" bestFit="1" customWidth="1"/>
    <col min="5" max="5" width="7.5" style="11" bestFit="1" customWidth="1"/>
    <col min="6" max="6" width="9" style="15"/>
    <col min="7" max="7" width="10.5" style="12" bestFit="1" customWidth="1"/>
    <col min="8" max="8" width="12.5" style="13" bestFit="1" customWidth="1"/>
    <col min="9" max="16384" width="9" style="10"/>
  </cols>
  <sheetData>
    <row r="1" spans="1:8" s="27" customFormat="1" x14ac:dyDescent="0.4">
      <c r="A1" s="25" t="s">
        <v>57</v>
      </c>
      <c r="B1" s="26" t="s">
        <v>14</v>
      </c>
      <c r="C1" s="27" t="s">
        <v>15</v>
      </c>
      <c r="D1" s="27" t="s">
        <v>33</v>
      </c>
      <c r="E1" s="27" t="s">
        <v>56</v>
      </c>
      <c r="F1" s="28"/>
      <c r="H1" s="29"/>
    </row>
    <row r="2" spans="1:8" x14ac:dyDescent="0.4">
      <c r="A2" s="8">
        <v>45231</v>
      </c>
      <c r="B2" s="9">
        <v>6179</v>
      </c>
      <c r="C2" s="10" t="s">
        <v>61</v>
      </c>
      <c r="D2" s="10" t="s">
        <v>64</v>
      </c>
      <c r="E2" s="11">
        <v>7</v>
      </c>
    </row>
    <row r="3" spans="1:8" x14ac:dyDescent="0.4">
      <c r="A3" s="8">
        <v>45231</v>
      </c>
      <c r="B3" s="9">
        <v>9321</v>
      </c>
      <c r="C3" s="10" t="s">
        <v>62</v>
      </c>
      <c r="D3" s="10" t="s">
        <v>64</v>
      </c>
      <c r="E3" s="11">
        <v>6.75</v>
      </c>
    </row>
    <row r="4" spans="1:8" x14ac:dyDescent="0.4">
      <c r="A4" s="8">
        <v>45231</v>
      </c>
      <c r="B4" s="9">
        <v>4137</v>
      </c>
      <c r="C4" s="10" t="s">
        <v>63</v>
      </c>
      <c r="D4" s="10" t="s">
        <v>64</v>
      </c>
      <c r="E4" s="11">
        <v>4.75</v>
      </c>
    </row>
    <row r="5" spans="1:8" x14ac:dyDescent="0.4">
      <c r="A5" s="8">
        <v>45231</v>
      </c>
      <c r="B5" s="9" t="s">
        <v>54</v>
      </c>
      <c r="C5" s="10" t="s">
        <v>60</v>
      </c>
      <c r="D5" s="10" t="s">
        <v>64</v>
      </c>
      <c r="E5" s="11">
        <v>4.5</v>
      </c>
    </row>
    <row r="6" spans="1:8" x14ac:dyDescent="0.4">
      <c r="A6" s="8">
        <v>45232</v>
      </c>
      <c r="B6" s="9">
        <v>4083</v>
      </c>
      <c r="C6" s="10" t="s">
        <v>2</v>
      </c>
      <c r="D6" s="10" t="s">
        <v>64</v>
      </c>
      <c r="E6" s="11">
        <v>6.5</v>
      </c>
    </row>
    <row r="7" spans="1:8" x14ac:dyDescent="0.4">
      <c r="A7" s="8">
        <v>45232</v>
      </c>
      <c r="B7" s="9">
        <v>9321</v>
      </c>
      <c r="C7" s="10" t="s">
        <v>62</v>
      </c>
      <c r="D7" s="10" t="s">
        <v>65</v>
      </c>
      <c r="E7" s="11">
        <v>7.75</v>
      </c>
    </row>
    <row r="8" spans="1:8" x14ac:dyDescent="0.4">
      <c r="A8" s="8">
        <v>45232</v>
      </c>
      <c r="B8" s="9" t="s">
        <v>54</v>
      </c>
      <c r="C8" s="10" t="s">
        <v>60</v>
      </c>
      <c r="D8" s="10" t="s">
        <v>65</v>
      </c>
      <c r="E8" s="11">
        <v>7</v>
      </c>
    </row>
    <row r="9" spans="1:8" x14ac:dyDescent="0.4">
      <c r="A9" s="8">
        <v>45232</v>
      </c>
      <c r="B9" s="9">
        <v>7180</v>
      </c>
      <c r="C9" s="10" t="s">
        <v>59</v>
      </c>
      <c r="D9" s="10" t="s">
        <v>65</v>
      </c>
      <c r="E9" s="11">
        <v>6.25</v>
      </c>
      <c r="H9" s="14"/>
    </row>
    <row r="10" spans="1:8" x14ac:dyDescent="0.4">
      <c r="A10" s="8">
        <v>45236</v>
      </c>
      <c r="B10" s="9">
        <v>4083</v>
      </c>
      <c r="C10" s="10" t="s">
        <v>2</v>
      </c>
      <c r="D10" s="10" t="s">
        <v>65</v>
      </c>
      <c r="E10" s="11">
        <v>5.5</v>
      </c>
    </row>
    <row r="11" spans="1:8" x14ac:dyDescent="0.4">
      <c r="A11" s="8">
        <v>45236</v>
      </c>
      <c r="B11" s="9" t="s">
        <v>54</v>
      </c>
      <c r="C11" s="10" t="s">
        <v>60</v>
      </c>
      <c r="D11" s="10" t="s">
        <v>66</v>
      </c>
      <c r="E11" s="11">
        <v>5</v>
      </c>
    </row>
    <row r="12" spans="1:8" x14ac:dyDescent="0.4">
      <c r="A12" s="8">
        <v>45237</v>
      </c>
      <c r="B12" s="9">
        <v>9321</v>
      </c>
      <c r="C12" s="10" t="s">
        <v>62</v>
      </c>
      <c r="D12" s="10" t="s">
        <v>66</v>
      </c>
      <c r="E12" s="11">
        <v>7</v>
      </c>
    </row>
    <row r="13" spans="1:8" x14ac:dyDescent="0.4">
      <c r="A13" s="8">
        <v>45237</v>
      </c>
      <c r="B13" s="9">
        <v>4137</v>
      </c>
      <c r="C13" s="10" t="s">
        <v>63</v>
      </c>
      <c r="D13" s="10" t="s">
        <v>66</v>
      </c>
      <c r="E13" s="11">
        <v>4.75</v>
      </c>
    </row>
    <row r="14" spans="1:8" x14ac:dyDescent="0.4">
      <c r="A14" s="8">
        <v>45237</v>
      </c>
      <c r="B14" s="9">
        <v>4083</v>
      </c>
      <c r="C14" s="10" t="s">
        <v>2</v>
      </c>
      <c r="D14" s="10" t="s">
        <v>66</v>
      </c>
      <c r="E14" s="11">
        <v>6.75</v>
      </c>
    </row>
    <row r="15" spans="1:8" x14ac:dyDescent="0.4">
      <c r="A15" s="8">
        <v>45238</v>
      </c>
      <c r="B15" s="9">
        <v>4137</v>
      </c>
      <c r="C15" s="10" t="s">
        <v>63</v>
      </c>
      <c r="D15" s="10" t="s">
        <v>67</v>
      </c>
      <c r="E15" s="11">
        <v>6.25</v>
      </c>
    </row>
    <row r="16" spans="1:8" x14ac:dyDescent="0.4">
      <c r="A16" s="8">
        <v>45238</v>
      </c>
      <c r="B16" s="9">
        <v>7180</v>
      </c>
      <c r="C16" s="10" t="s">
        <v>59</v>
      </c>
      <c r="D16" s="10" t="s">
        <v>67</v>
      </c>
      <c r="E16" s="11">
        <v>4.5</v>
      </c>
    </row>
    <row r="17" spans="1:8" x14ac:dyDescent="0.4">
      <c r="A17" s="8">
        <v>45238</v>
      </c>
      <c r="B17" s="9">
        <v>9321</v>
      </c>
      <c r="C17" s="10" t="s">
        <v>62</v>
      </c>
      <c r="D17" s="10" t="s">
        <v>67</v>
      </c>
      <c r="E17" s="11">
        <v>7.75</v>
      </c>
    </row>
    <row r="18" spans="1:8" x14ac:dyDescent="0.4">
      <c r="A18" s="8">
        <v>45239</v>
      </c>
      <c r="B18" s="9">
        <v>7180</v>
      </c>
      <c r="C18" s="10" t="s">
        <v>59</v>
      </c>
      <c r="D18" s="10" t="s">
        <v>67</v>
      </c>
      <c r="E18" s="11">
        <v>7.25</v>
      </c>
    </row>
    <row r="19" spans="1:8" x14ac:dyDescent="0.4">
      <c r="A19" s="8">
        <v>45239</v>
      </c>
      <c r="B19" s="9" t="s">
        <v>54</v>
      </c>
      <c r="C19" s="10" t="s">
        <v>60</v>
      </c>
      <c r="D19" s="10" t="s">
        <v>67</v>
      </c>
      <c r="E19" s="11">
        <v>6.5</v>
      </c>
    </row>
    <row r="20" spans="1:8" x14ac:dyDescent="0.4">
      <c r="A20" s="8">
        <v>45239</v>
      </c>
      <c r="B20" s="9">
        <v>4137</v>
      </c>
      <c r="C20" s="10" t="s">
        <v>63</v>
      </c>
      <c r="D20" s="10" t="s">
        <v>67</v>
      </c>
      <c r="E20" s="11">
        <v>4.25</v>
      </c>
    </row>
    <row r="21" spans="1:8" x14ac:dyDescent="0.4">
      <c r="A21" s="8">
        <v>45240</v>
      </c>
      <c r="B21" s="9" t="s">
        <v>54</v>
      </c>
      <c r="C21" s="10" t="s">
        <v>60</v>
      </c>
      <c r="D21" s="10" t="s">
        <v>67</v>
      </c>
      <c r="E21" s="11">
        <v>5.75</v>
      </c>
    </row>
    <row r="22" spans="1:8" x14ac:dyDescent="0.4">
      <c r="A22" s="8">
        <v>45240</v>
      </c>
      <c r="B22" s="9">
        <v>7180</v>
      </c>
      <c r="C22" s="10" t="s">
        <v>59</v>
      </c>
      <c r="D22" s="10" t="s">
        <v>67</v>
      </c>
      <c r="E22" s="11">
        <v>4.25</v>
      </c>
    </row>
    <row r="23" spans="1:8" x14ac:dyDescent="0.4">
      <c r="A23" s="8">
        <v>45240</v>
      </c>
      <c r="B23" s="9">
        <v>4137</v>
      </c>
      <c r="C23" s="10" t="s">
        <v>63</v>
      </c>
      <c r="D23" s="10" t="s">
        <v>68</v>
      </c>
      <c r="E23" s="11">
        <v>6.5</v>
      </c>
    </row>
    <row r="24" spans="1:8" x14ac:dyDescent="0.4">
      <c r="A24" s="8">
        <v>45240</v>
      </c>
      <c r="B24" s="9">
        <v>6179</v>
      </c>
      <c r="C24" s="10" t="s">
        <v>61</v>
      </c>
      <c r="D24" s="10" t="s">
        <v>68</v>
      </c>
      <c r="E24" s="11">
        <v>7</v>
      </c>
    </row>
    <row r="25" spans="1:8" x14ac:dyDescent="0.4">
      <c r="A25" s="8">
        <v>45243</v>
      </c>
      <c r="B25" s="9">
        <v>4137</v>
      </c>
      <c r="C25" s="10" t="s">
        <v>63</v>
      </c>
      <c r="D25" s="10" t="s">
        <v>69</v>
      </c>
      <c r="E25" s="11">
        <v>5.75</v>
      </c>
    </row>
    <row r="26" spans="1:8" x14ac:dyDescent="0.4">
      <c r="A26" s="8">
        <v>45243</v>
      </c>
      <c r="B26" s="9">
        <v>6179</v>
      </c>
      <c r="C26" s="10" t="s">
        <v>61</v>
      </c>
      <c r="D26" s="10" t="s">
        <v>69</v>
      </c>
      <c r="E26" s="11">
        <v>4</v>
      </c>
    </row>
    <row r="27" spans="1:8" x14ac:dyDescent="0.4">
      <c r="A27" s="8">
        <v>45243</v>
      </c>
      <c r="B27" s="9">
        <v>4083</v>
      </c>
      <c r="C27" s="10" t="s">
        <v>2</v>
      </c>
      <c r="D27" s="10" t="s">
        <v>69</v>
      </c>
      <c r="E27" s="11">
        <v>6</v>
      </c>
    </row>
    <row r="28" spans="1:8" x14ac:dyDescent="0.4">
      <c r="A28" s="8">
        <v>45243</v>
      </c>
      <c r="B28" s="9">
        <v>9321</v>
      </c>
      <c r="C28" s="10" t="s">
        <v>62</v>
      </c>
      <c r="D28" s="10" t="s">
        <v>69</v>
      </c>
      <c r="E28" s="11">
        <v>6.25</v>
      </c>
    </row>
    <row r="29" spans="1:8" x14ac:dyDescent="0.4">
      <c r="A29" s="8">
        <v>45243</v>
      </c>
      <c r="B29" s="9">
        <v>7180</v>
      </c>
      <c r="C29" s="10" t="s">
        <v>59</v>
      </c>
      <c r="D29" s="10" t="s">
        <v>69</v>
      </c>
      <c r="E29" s="11">
        <v>7.25</v>
      </c>
    </row>
    <row r="30" spans="1:8" x14ac:dyDescent="0.4">
      <c r="A30" s="8">
        <v>45244</v>
      </c>
      <c r="B30" s="9">
        <v>6179</v>
      </c>
      <c r="C30" s="10" t="s">
        <v>61</v>
      </c>
      <c r="D30" s="10" t="s">
        <v>70</v>
      </c>
      <c r="E30" s="11">
        <v>5.25</v>
      </c>
    </row>
    <row r="31" spans="1:8" x14ac:dyDescent="0.4">
      <c r="A31" s="8">
        <v>45244</v>
      </c>
      <c r="B31" s="9">
        <v>7180</v>
      </c>
      <c r="C31" s="10" t="s">
        <v>59</v>
      </c>
      <c r="D31" s="10" t="s">
        <v>70</v>
      </c>
      <c r="E31" s="11">
        <v>5</v>
      </c>
    </row>
    <row r="32" spans="1:8" x14ac:dyDescent="0.4">
      <c r="H32" s="12"/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313F2-061C-41E5-963B-F716F59A4849}">
  <sheetPr codeName="Sheet2"/>
  <dimension ref="B1:D9"/>
  <sheetViews>
    <sheetView workbookViewId="0"/>
  </sheetViews>
  <sheetFormatPr defaultRowHeight="18.75" x14ac:dyDescent="0.4"/>
  <cols>
    <col min="2" max="3" width="13.5" style="6" customWidth="1"/>
    <col min="4" max="4" width="13.5" style="2" customWidth="1"/>
  </cols>
  <sheetData>
    <row r="1" spans="2:4" x14ac:dyDescent="0.4">
      <c r="D1"/>
    </row>
    <row r="2" spans="2:4" x14ac:dyDescent="0.4">
      <c r="D2"/>
    </row>
    <row r="3" spans="2:4" x14ac:dyDescent="0.4">
      <c r="B3" s="4" t="s">
        <v>14</v>
      </c>
      <c r="C3" s="4" t="s">
        <v>15</v>
      </c>
      <c r="D3" s="3" t="s">
        <v>55</v>
      </c>
    </row>
    <row r="4" spans="2:4" x14ac:dyDescent="0.4">
      <c r="B4" s="5">
        <v>4137</v>
      </c>
      <c r="C4" s="5" t="s">
        <v>63</v>
      </c>
      <c r="D4" s="7">
        <v>4500</v>
      </c>
    </row>
    <row r="5" spans="2:4" x14ac:dyDescent="0.4">
      <c r="B5" s="5">
        <v>6179</v>
      </c>
      <c r="C5" s="5" t="s">
        <v>61</v>
      </c>
      <c r="D5" s="7">
        <v>5500</v>
      </c>
    </row>
    <row r="6" spans="2:4" x14ac:dyDescent="0.4">
      <c r="B6" s="5" t="s">
        <v>54</v>
      </c>
      <c r="C6" s="5" t="s">
        <v>60</v>
      </c>
      <c r="D6" s="7">
        <v>5000</v>
      </c>
    </row>
    <row r="7" spans="2:4" x14ac:dyDescent="0.4">
      <c r="B7" s="5">
        <v>9321</v>
      </c>
      <c r="C7" s="5" t="s">
        <v>62</v>
      </c>
      <c r="D7" s="7">
        <v>6500</v>
      </c>
    </row>
    <row r="8" spans="2:4" x14ac:dyDescent="0.4">
      <c r="B8" s="5">
        <v>4083</v>
      </c>
      <c r="C8" s="5" t="s">
        <v>58</v>
      </c>
      <c r="D8" s="7">
        <v>5500</v>
      </c>
    </row>
    <row r="9" spans="2:4" x14ac:dyDescent="0.4">
      <c r="B9" s="5">
        <v>7180</v>
      </c>
      <c r="C9" s="5" t="s">
        <v>59</v>
      </c>
      <c r="D9" s="7">
        <v>4000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CFE28-2CD6-421B-90A4-018777606B43}">
  <sheetPr codeName="Sheet9"/>
  <dimension ref="B3:C20"/>
  <sheetViews>
    <sheetView workbookViewId="0"/>
  </sheetViews>
  <sheetFormatPr defaultRowHeight="18.75" x14ac:dyDescent="0.4"/>
  <cols>
    <col min="2" max="2" width="11.875" bestFit="1" customWidth="1"/>
    <col min="3" max="3" width="13" bestFit="1" customWidth="1"/>
  </cols>
  <sheetData>
    <row r="3" spans="2:3" x14ac:dyDescent="0.4">
      <c r="B3" s="3" t="s">
        <v>33</v>
      </c>
      <c r="C3" s="3" t="s">
        <v>34</v>
      </c>
    </row>
    <row r="4" spans="2:3" x14ac:dyDescent="0.4">
      <c r="B4" s="1" t="s">
        <v>38</v>
      </c>
      <c r="C4" s="1" t="s">
        <v>17</v>
      </c>
    </row>
    <row r="5" spans="2:3" x14ac:dyDescent="0.4">
      <c r="B5" s="1" t="s">
        <v>39</v>
      </c>
      <c r="C5" s="1" t="s">
        <v>19</v>
      </c>
    </row>
    <row r="6" spans="2:3" x14ac:dyDescent="0.4">
      <c r="B6" s="1" t="s">
        <v>40</v>
      </c>
      <c r="C6" s="1" t="s">
        <v>21</v>
      </c>
    </row>
    <row r="7" spans="2:3" x14ac:dyDescent="0.4">
      <c r="B7" s="1" t="s">
        <v>41</v>
      </c>
      <c r="C7" s="1" t="s">
        <v>23</v>
      </c>
    </row>
    <row r="8" spans="2:3" x14ac:dyDescent="0.4">
      <c r="B8" s="1" t="s">
        <v>42</v>
      </c>
      <c r="C8" s="1" t="s">
        <v>25</v>
      </c>
    </row>
    <row r="9" spans="2:3" x14ac:dyDescent="0.4">
      <c r="B9" s="1" t="s">
        <v>43</v>
      </c>
      <c r="C9" s="1" t="s">
        <v>27</v>
      </c>
    </row>
    <row r="10" spans="2:3" x14ac:dyDescent="0.4">
      <c r="B10" s="1" t="s">
        <v>44</v>
      </c>
      <c r="C10" s="1" t="s">
        <v>29</v>
      </c>
    </row>
    <row r="11" spans="2:3" x14ac:dyDescent="0.4">
      <c r="B11" s="1" t="s">
        <v>45</v>
      </c>
      <c r="C11" s="1" t="s">
        <v>31</v>
      </c>
    </row>
    <row r="12" spans="2:3" x14ac:dyDescent="0.4">
      <c r="B12" s="1" t="s">
        <v>46</v>
      </c>
      <c r="C12" s="1" t="s">
        <v>17</v>
      </c>
    </row>
    <row r="13" spans="2:3" x14ac:dyDescent="0.4">
      <c r="B13" s="1" t="s">
        <v>47</v>
      </c>
      <c r="C13" s="1" t="s">
        <v>19</v>
      </c>
    </row>
    <row r="14" spans="2:3" x14ac:dyDescent="0.4">
      <c r="B14" s="1" t="s">
        <v>48</v>
      </c>
      <c r="C14" s="1" t="s">
        <v>21</v>
      </c>
    </row>
    <row r="15" spans="2:3" x14ac:dyDescent="0.4">
      <c r="B15" s="1" t="s">
        <v>49</v>
      </c>
      <c r="C15" s="1" t="s">
        <v>23</v>
      </c>
    </row>
    <row r="16" spans="2:3" x14ac:dyDescent="0.4">
      <c r="B16" s="1" t="s">
        <v>50</v>
      </c>
      <c r="C16" s="1" t="s">
        <v>25</v>
      </c>
    </row>
    <row r="17" spans="2:3" x14ac:dyDescent="0.4">
      <c r="B17" s="1" t="s">
        <v>51</v>
      </c>
      <c r="C17" s="1" t="s">
        <v>27</v>
      </c>
    </row>
    <row r="18" spans="2:3" x14ac:dyDescent="0.4">
      <c r="B18" s="1" t="s">
        <v>52</v>
      </c>
      <c r="C18" s="1" t="s">
        <v>29</v>
      </c>
    </row>
    <row r="19" spans="2:3" x14ac:dyDescent="0.4">
      <c r="B19" s="1" t="s">
        <v>53</v>
      </c>
      <c r="C19" s="1" t="s">
        <v>31</v>
      </c>
    </row>
    <row r="20" spans="2:3" x14ac:dyDescent="0.4">
      <c r="B20" s="1" t="s">
        <v>3</v>
      </c>
      <c r="C20" s="1" t="s">
        <v>4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D0D2FC-E8D3-44FB-8667-D2A404C29DAA}">
  <sheetPr codeName="Sheet20"/>
  <dimension ref="A1:J22"/>
  <sheetViews>
    <sheetView workbookViewId="0"/>
  </sheetViews>
  <sheetFormatPr defaultRowHeight="18.75" x14ac:dyDescent="0.4"/>
  <cols>
    <col min="1" max="1" width="3.625" customWidth="1"/>
    <col min="2" max="2" width="11" bestFit="1" customWidth="1"/>
    <col min="3" max="3" width="18" bestFit="1" customWidth="1"/>
    <col min="4" max="9" width="11.5" customWidth="1"/>
    <col min="10" max="10" width="7.875" bestFit="1" customWidth="1"/>
  </cols>
  <sheetData>
    <row r="1" spans="1:10" x14ac:dyDescent="0.4">
      <c r="A1" t="s">
        <v>71</v>
      </c>
    </row>
    <row r="3" spans="1:10" x14ac:dyDescent="0.4">
      <c r="D3" s="22" t="s">
        <v>7</v>
      </c>
      <c r="E3" s="22"/>
      <c r="F3" s="22"/>
      <c r="G3" s="22"/>
      <c r="H3" s="22"/>
      <c r="I3" s="22"/>
    </row>
    <row r="4" spans="1:10" x14ac:dyDescent="0.4">
      <c r="B4" s="19" t="s">
        <v>5</v>
      </c>
      <c r="C4" s="19" t="s">
        <v>32</v>
      </c>
      <c r="D4" s="23" t="s">
        <v>0</v>
      </c>
      <c r="E4" s="23" t="s">
        <v>36</v>
      </c>
      <c r="F4" s="23" t="s">
        <v>35</v>
      </c>
      <c r="G4" s="23" t="s">
        <v>37</v>
      </c>
      <c r="H4" s="23" t="s">
        <v>2</v>
      </c>
      <c r="I4" s="23" t="s">
        <v>1</v>
      </c>
      <c r="J4" s="21" t="s">
        <v>9</v>
      </c>
    </row>
    <row r="5" spans="1:10" x14ac:dyDescent="0.4">
      <c r="B5" s="20" t="s">
        <v>16</v>
      </c>
      <c r="C5" s="20" t="s">
        <v>38</v>
      </c>
      <c r="D5" s="18">
        <v>4.75</v>
      </c>
      <c r="E5" s="18">
        <v>7</v>
      </c>
      <c r="F5" s="18">
        <v>4.5</v>
      </c>
      <c r="G5" s="18">
        <v>6.75</v>
      </c>
      <c r="H5" s="18">
        <v>6.5</v>
      </c>
      <c r="I5" s="18">
        <v>0</v>
      </c>
      <c r="J5" s="16">
        <f t="shared" ref="J5:J21" si="0">SUM(D5:I5)</f>
        <v>29.5</v>
      </c>
    </row>
    <row r="6" spans="1:10" x14ac:dyDescent="0.4">
      <c r="B6" s="20" t="s">
        <v>18</v>
      </c>
      <c r="C6" s="20" t="s">
        <v>39</v>
      </c>
      <c r="D6" s="18">
        <v>0</v>
      </c>
      <c r="E6" s="18">
        <v>0</v>
      </c>
      <c r="F6" s="18">
        <v>7</v>
      </c>
      <c r="G6" s="18">
        <v>7.75</v>
      </c>
      <c r="H6" s="18">
        <v>5.5</v>
      </c>
      <c r="I6" s="18">
        <v>6.25</v>
      </c>
      <c r="J6" s="16">
        <f t="shared" si="0"/>
        <v>26.5</v>
      </c>
    </row>
    <row r="7" spans="1:10" x14ac:dyDescent="0.4">
      <c r="B7" s="20" t="s">
        <v>20</v>
      </c>
      <c r="C7" s="20" t="s">
        <v>40</v>
      </c>
      <c r="D7" s="18">
        <v>4.75</v>
      </c>
      <c r="E7" s="18">
        <v>0</v>
      </c>
      <c r="F7" s="18">
        <v>5</v>
      </c>
      <c r="G7" s="18">
        <v>7</v>
      </c>
      <c r="H7" s="18">
        <v>6.75</v>
      </c>
      <c r="I7" s="18">
        <v>0</v>
      </c>
      <c r="J7" s="16">
        <f t="shared" si="0"/>
        <v>23.5</v>
      </c>
    </row>
    <row r="8" spans="1:10" x14ac:dyDescent="0.4">
      <c r="B8" s="20" t="s">
        <v>22</v>
      </c>
      <c r="C8" s="20" t="s">
        <v>41</v>
      </c>
      <c r="D8" s="18">
        <v>10.5</v>
      </c>
      <c r="E8" s="18">
        <v>0</v>
      </c>
      <c r="F8" s="18">
        <v>12.25</v>
      </c>
      <c r="G8" s="18">
        <v>7.75</v>
      </c>
      <c r="H8" s="18">
        <v>0</v>
      </c>
      <c r="I8" s="18">
        <v>16</v>
      </c>
      <c r="J8" s="16">
        <f t="shared" si="0"/>
        <v>46.5</v>
      </c>
    </row>
    <row r="9" spans="1:10" x14ac:dyDescent="0.4">
      <c r="B9" s="20" t="s">
        <v>24</v>
      </c>
      <c r="C9" s="20" t="s">
        <v>42</v>
      </c>
      <c r="D9" s="18">
        <v>6.5</v>
      </c>
      <c r="E9" s="18">
        <v>7</v>
      </c>
      <c r="F9" s="18">
        <v>0</v>
      </c>
      <c r="G9" s="18">
        <v>0</v>
      </c>
      <c r="H9" s="18">
        <v>0</v>
      </c>
      <c r="I9" s="18">
        <v>0</v>
      </c>
      <c r="J9" s="16">
        <f t="shared" si="0"/>
        <v>13.5</v>
      </c>
    </row>
    <row r="10" spans="1:10" x14ac:dyDescent="0.4">
      <c r="B10" s="20" t="s">
        <v>26</v>
      </c>
      <c r="C10" s="20" t="s">
        <v>43</v>
      </c>
      <c r="D10" s="18">
        <v>5.75</v>
      </c>
      <c r="E10" s="18">
        <v>4</v>
      </c>
      <c r="F10" s="18">
        <v>0</v>
      </c>
      <c r="G10" s="18">
        <v>6.25</v>
      </c>
      <c r="H10" s="18">
        <v>6</v>
      </c>
      <c r="I10" s="18">
        <v>7.25</v>
      </c>
      <c r="J10" s="16">
        <f t="shared" si="0"/>
        <v>29.25</v>
      </c>
    </row>
    <row r="11" spans="1:10" x14ac:dyDescent="0.4">
      <c r="B11" s="20" t="s">
        <v>28</v>
      </c>
      <c r="C11" s="20" t="s">
        <v>44</v>
      </c>
      <c r="D11" s="18">
        <v>0</v>
      </c>
      <c r="E11" s="18">
        <v>5.25</v>
      </c>
      <c r="F11" s="18">
        <v>0</v>
      </c>
      <c r="G11" s="18">
        <v>0</v>
      </c>
      <c r="H11" s="18">
        <v>0</v>
      </c>
      <c r="I11" s="18">
        <v>5</v>
      </c>
      <c r="J11" s="16">
        <f t="shared" si="0"/>
        <v>10.25</v>
      </c>
    </row>
    <row r="12" spans="1:10" x14ac:dyDescent="0.4">
      <c r="B12" s="20" t="s">
        <v>30</v>
      </c>
      <c r="C12" s="20" t="s">
        <v>45</v>
      </c>
      <c r="D12" s="18">
        <v>0</v>
      </c>
      <c r="E12" s="18">
        <v>0</v>
      </c>
      <c r="F12" s="18">
        <v>0</v>
      </c>
      <c r="G12" s="18">
        <v>0</v>
      </c>
      <c r="H12" s="18">
        <v>0</v>
      </c>
      <c r="I12" s="18">
        <v>0</v>
      </c>
      <c r="J12" s="16">
        <f t="shared" si="0"/>
        <v>0</v>
      </c>
    </row>
    <row r="13" spans="1:10" x14ac:dyDescent="0.4">
      <c r="B13" s="20" t="s">
        <v>16</v>
      </c>
      <c r="C13" s="20" t="s">
        <v>46</v>
      </c>
      <c r="D13" s="18">
        <v>0</v>
      </c>
      <c r="E13" s="18">
        <v>0</v>
      </c>
      <c r="F13" s="18">
        <v>0</v>
      </c>
      <c r="G13" s="18">
        <v>0</v>
      </c>
      <c r="H13" s="18">
        <v>0</v>
      </c>
      <c r="I13" s="18">
        <v>0</v>
      </c>
      <c r="J13" s="16">
        <f t="shared" si="0"/>
        <v>0</v>
      </c>
    </row>
    <row r="14" spans="1:10" x14ac:dyDescent="0.4">
      <c r="B14" s="20" t="s">
        <v>18</v>
      </c>
      <c r="C14" s="20" t="s">
        <v>47</v>
      </c>
      <c r="D14" s="18">
        <v>0</v>
      </c>
      <c r="E14" s="18">
        <v>0</v>
      </c>
      <c r="F14" s="18">
        <v>0</v>
      </c>
      <c r="G14" s="18">
        <v>0</v>
      </c>
      <c r="H14" s="18">
        <v>0</v>
      </c>
      <c r="I14" s="18">
        <v>0</v>
      </c>
      <c r="J14" s="16">
        <f t="shared" si="0"/>
        <v>0</v>
      </c>
    </row>
    <row r="15" spans="1:10" x14ac:dyDescent="0.4">
      <c r="B15" s="20" t="s">
        <v>20</v>
      </c>
      <c r="C15" s="20" t="s">
        <v>48</v>
      </c>
      <c r="D15" s="18">
        <v>0</v>
      </c>
      <c r="E15" s="18">
        <v>0</v>
      </c>
      <c r="F15" s="18">
        <v>0</v>
      </c>
      <c r="G15" s="18">
        <v>0</v>
      </c>
      <c r="H15" s="18">
        <v>0</v>
      </c>
      <c r="I15" s="18">
        <v>0</v>
      </c>
      <c r="J15" s="16">
        <f t="shared" si="0"/>
        <v>0</v>
      </c>
    </row>
    <row r="16" spans="1:10" x14ac:dyDescent="0.4">
      <c r="B16" s="20" t="s">
        <v>22</v>
      </c>
      <c r="C16" s="20" t="s">
        <v>49</v>
      </c>
      <c r="D16" s="18">
        <v>0</v>
      </c>
      <c r="E16" s="18">
        <v>0</v>
      </c>
      <c r="F16" s="18">
        <v>0</v>
      </c>
      <c r="G16" s="18">
        <v>0</v>
      </c>
      <c r="H16" s="18">
        <v>0</v>
      </c>
      <c r="I16" s="18">
        <v>0</v>
      </c>
      <c r="J16" s="16">
        <f t="shared" si="0"/>
        <v>0</v>
      </c>
    </row>
    <row r="17" spans="2:10" x14ac:dyDescent="0.4">
      <c r="B17" s="20" t="s">
        <v>24</v>
      </c>
      <c r="C17" s="20" t="s">
        <v>50</v>
      </c>
      <c r="D17" s="18">
        <v>0</v>
      </c>
      <c r="E17" s="18">
        <v>0</v>
      </c>
      <c r="F17" s="18">
        <v>0</v>
      </c>
      <c r="G17" s="18">
        <v>0</v>
      </c>
      <c r="H17" s="18">
        <v>0</v>
      </c>
      <c r="I17" s="18">
        <v>0</v>
      </c>
      <c r="J17" s="16">
        <f t="shared" si="0"/>
        <v>0</v>
      </c>
    </row>
    <row r="18" spans="2:10" x14ac:dyDescent="0.4">
      <c r="B18" s="20" t="s">
        <v>26</v>
      </c>
      <c r="C18" s="20" t="s">
        <v>51</v>
      </c>
      <c r="D18" s="18">
        <v>0</v>
      </c>
      <c r="E18" s="18">
        <v>0</v>
      </c>
      <c r="F18" s="18">
        <v>0</v>
      </c>
      <c r="G18" s="18">
        <v>0</v>
      </c>
      <c r="H18" s="18">
        <v>0</v>
      </c>
      <c r="I18" s="18">
        <v>0</v>
      </c>
      <c r="J18" s="16">
        <f t="shared" si="0"/>
        <v>0</v>
      </c>
    </row>
    <row r="19" spans="2:10" x14ac:dyDescent="0.4">
      <c r="B19" s="20" t="s">
        <v>28</v>
      </c>
      <c r="C19" s="20" t="s">
        <v>52</v>
      </c>
      <c r="D19" s="18">
        <v>0</v>
      </c>
      <c r="E19" s="18">
        <v>0</v>
      </c>
      <c r="F19" s="18">
        <v>0</v>
      </c>
      <c r="G19" s="18">
        <v>0</v>
      </c>
      <c r="H19" s="18">
        <v>0</v>
      </c>
      <c r="I19" s="18">
        <v>0</v>
      </c>
      <c r="J19" s="16">
        <f t="shared" si="0"/>
        <v>0</v>
      </c>
    </row>
    <row r="20" spans="2:10" x14ac:dyDescent="0.4">
      <c r="B20" s="20" t="s">
        <v>30</v>
      </c>
      <c r="C20" s="20" t="s">
        <v>53</v>
      </c>
      <c r="D20" s="18">
        <v>0</v>
      </c>
      <c r="E20" s="18">
        <v>0</v>
      </c>
      <c r="F20" s="18">
        <v>0</v>
      </c>
      <c r="G20" s="18">
        <v>0</v>
      </c>
      <c r="H20" s="18">
        <v>0</v>
      </c>
      <c r="I20" s="18">
        <v>0</v>
      </c>
      <c r="J20" s="16">
        <f t="shared" si="0"/>
        <v>0</v>
      </c>
    </row>
    <row r="21" spans="2:10" x14ac:dyDescent="0.4">
      <c r="B21" s="20" t="s">
        <v>6</v>
      </c>
      <c r="C21" s="20" t="s">
        <v>3</v>
      </c>
      <c r="D21" s="18">
        <v>0</v>
      </c>
      <c r="E21" s="18">
        <v>0</v>
      </c>
      <c r="F21" s="18">
        <v>0</v>
      </c>
      <c r="G21" s="18">
        <v>0</v>
      </c>
      <c r="H21" s="18">
        <v>0</v>
      </c>
      <c r="I21" s="18">
        <v>0</v>
      </c>
      <c r="J21" s="16">
        <f t="shared" si="0"/>
        <v>0</v>
      </c>
    </row>
    <row r="22" spans="2:10" x14ac:dyDescent="0.4">
      <c r="C22" s="21" t="s">
        <v>8</v>
      </c>
      <c r="D22" s="16">
        <f t="shared" ref="D22:J22" si="1">SUM(D5:D21)</f>
        <v>32.25</v>
      </c>
      <c r="E22" s="16">
        <f t="shared" si="1"/>
        <v>23.25</v>
      </c>
      <c r="F22" s="16">
        <f t="shared" si="1"/>
        <v>28.75</v>
      </c>
      <c r="G22" s="16">
        <f t="shared" si="1"/>
        <v>35.5</v>
      </c>
      <c r="H22" s="16">
        <f t="shared" si="1"/>
        <v>24.75</v>
      </c>
      <c r="I22" s="16">
        <f t="shared" si="1"/>
        <v>34.5</v>
      </c>
      <c r="J22" s="16">
        <f t="shared" si="1"/>
        <v>179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FECC72-DC7C-43CC-88CD-2E8A2A592D9D}">
  <sheetPr codeName="Sheet25"/>
  <dimension ref="A1:J22"/>
  <sheetViews>
    <sheetView workbookViewId="0"/>
  </sheetViews>
  <sheetFormatPr defaultRowHeight="18.75" x14ac:dyDescent="0.4"/>
  <cols>
    <col min="1" max="1" width="3.625" customWidth="1"/>
    <col min="2" max="2" width="11" bestFit="1" customWidth="1"/>
    <col min="3" max="3" width="21" bestFit="1" customWidth="1"/>
    <col min="4" max="9" width="11.5" customWidth="1"/>
    <col min="10" max="10" width="10.5" bestFit="1" customWidth="1"/>
  </cols>
  <sheetData>
    <row r="1" spans="1:10" x14ac:dyDescent="0.4">
      <c r="A1" t="s">
        <v>72</v>
      </c>
    </row>
    <row r="3" spans="1:10" x14ac:dyDescent="0.4">
      <c r="D3" s="22" t="s">
        <v>7</v>
      </c>
      <c r="E3" s="22"/>
      <c r="F3" s="22"/>
      <c r="G3" s="22"/>
      <c r="H3" s="22"/>
      <c r="I3" s="22"/>
    </row>
    <row r="4" spans="1:10" x14ac:dyDescent="0.4">
      <c r="B4" s="19" t="s">
        <v>5</v>
      </c>
      <c r="C4" s="19" t="s">
        <v>32</v>
      </c>
      <c r="D4" s="23" t="s">
        <v>0</v>
      </c>
      <c r="E4" s="23" t="s">
        <v>36</v>
      </c>
      <c r="F4" s="23" t="s">
        <v>35</v>
      </c>
      <c r="G4" s="23" t="s">
        <v>37</v>
      </c>
      <c r="H4" s="23" t="s">
        <v>2</v>
      </c>
      <c r="I4" s="23" t="s">
        <v>1</v>
      </c>
      <c r="J4" s="24" t="s">
        <v>11</v>
      </c>
    </row>
    <row r="5" spans="1:10" x14ac:dyDescent="0.4">
      <c r="B5" s="20" t="s">
        <v>16</v>
      </c>
      <c r="C5" s="20" t="s">
        <v>38</v>
      </c>
      <c r="D5" s="2">
        <v>21375</v>
      </c>
      <c r="E5" s="2">
        <v>38500</v>
      </c>
      <c r="F5" s="2">
        <v>22500</v>
      </c>
      <c r="G5" s="2">
        <v>43875</v>
      </c>
      <c r="H5" s="2">
        <v>35750</v>
      </c>
      <c r="I5" s="2">
        <v>0</v>
      </c>
      <c r="J5" s="17">
        <f t="shared" ref="J5:J21" si="0">SUM(D5:I5)</f>
        <v>162000</v>
      </c>
    </row>
    <row r="6" spans="1:10" x14ac:dyDescent="0.4">
      <c r="B6" s="20" t="s">
        <v>18</v>
      </c>
      <c r="C6" s="20" t="s">
        <v>39</v>
      </c>
      <c r="D6" s="2">
        <v>0</v>
      </c>
      <c r="E6" s="2">
        <v>0</v>
      </c>
      <c r="F6" s="2">
        <v>35000</v>
      </c>
      <c r="G6" s="2">
        <v>50375</v>
      </c>
      <c r="H6" s="2">
        <v>30250</v>
      </c>
      <c r="I6" s="2">
        <v>25000</v>
      </c>
      <c r="J6" s="17">
        <f t="shared" si="0"/>
        <v>140625</v>
      </c>
    </row>
    <row r="7" spans="1:10" x14ac:dyDescent="0.4">
      <c r="B7" s="20" t="s">
        <v>20</v>
      </c>
      <c r="C7" s="20" t="s">
        <v>40</v>
      </c>
      <c r="D7" s="2">
        <v>21375</v>
      </c>
      <c r="E7" s="2">
        <v>0</v>
      </c>
      <c r="F7" s="2">
        <v>25000</v>
      </c>
      <c r="G7" s="2">
        <v>45500</v>
      </c>
      <c r="H7" s="2">
        <v>37125</v>
      </c>
      <c r="I7" s="2">
        <v>0</v>
      </c>
      <c r="J7" s="17">
        <f t="shared" si="0"/>
        <v>129000</v>
      </c>
    </row>
    <row r="8" spans="1:10" x14ac:dyDescent="0.4">
      <c r="B8" s="20" t="s">
        <v>22</v>
      </c>
      <c r="C8" s="20" t="s">
        <v>41</v>
      </c>
      <c r="D8" s="2">
        <v>47250</v>
      </c>
      <c r="E8" s="2">
        <v>0</v>
      </c>
      <c r="F8" s="2">
        <v>61250</v>
      </c>
      <c r="G8" s="2">
        <v>50375</v>
      </c>
      <c r="H8" s="2">
        <v>0</v>
      </c>
      <c r="I8" s="2">
        <v>64000</v>
      </c>
      <c r="J8" s="17">
        <f t="shared" si="0"/>
        <v>222875</v>
      </c>
    </row>
    <row r="9" spans="1:10" x14ac:dyDescent="0.4">
      <c r="B9" s="20" t="s">
        <v>24</v>
      </c>
      <c r="C9" s="20" t="s">
        <v>42</v>
      </c>
      <c r="D9" s="2">
        <v>29250</v>
      </c>
      <c r="E9" s="2">
        <v>38500</v>
      </c>
      <c r="F9" s="2">
        <v>0</v>
      </c>
      <c r="G9" s="2">
        <v>0</v>
      </c>
      <c r="H9" s="2">
        <v>0</v>
      </c>
      <c r="I9" s="2">
        <v>0</v>
      </c>
      <c r="J9" s="17">
        <f t="shared" si="0"/>
        <v>67750</v>
      </c>
    </row>
    <row r="10" spans="1:10" x14ac:dyDescent="0.4">
      <c r="B10" s="20" t="s">
        <v>26</v>
      </c>
      <c r="C10" s="20" t="s">
        <v>43</v>
      </c>
      <c r="D10" s="2">
        <v>25875</v>
      </c>
      <c r="E10" s="2">
        <v>22000</v>
      </c>
      <c r="F10" s="2">
        <v>0</v>
      </c>
      <c r="G10" s="2">
        <v>40625</v>
      </c>
      <c r="H10" s="2">
        <v>33000</v>
      </c>
      <c r="I10" s="2">
        <v>29000</v>
      </c>
      <c r="J10" s="17">
        <f t="shared" si="0"/>
        <v>150500</v>
      </c>
    </row>
    <row r="11" spans="1:10" x14ac:dyDescent="0.4">
      <c r="B11" s="20" t="s">
        <v>28</v>
      </c>
      <c r="C11" s="20" t="s">
        <v>44</v>
      </c>
      <c r="D11" s="2">
        <v>0</v>
      </c>
      <c r="E11" s="2">
        <v>28875</v>
      </c>
      <c r="F11" s="2">
        <v>0</v>
      </c>
      <c r="G11" s="2">
        <v>0</v>
      </c>
      <c r="H11" s="2">
        <v>0</v>
      </c>
      <c r="I11" s="2">
        <v>20000</v>
      </c>
      <c r="J11" s="17">
        <f t="shared" si="0"/>
        <v>48875</v>
      </c>
    </row>
    <row r="12" spans="1:10" x14ac:dyDescent="0.4">
      <c r="B12" s="20" t="s">
        <v>30</v>
      </c>
      <c r="C12" s="20" t="s">
        <v>45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17">
        <f t="shared" si="0"/>
        <v>0</v>
      </c>
    </row>
    <row r="13" spans="1:10" x14ac:dyDescent="0.4">
      <c r="B13" s="20" t="s">
        <v>16</v>
      </c>
      <c r="C13" s="20" t="s">
        <v>46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s="2">
        <v>0</v>
      </c>
      <c r="J13" s="17">
        <f t="shared" si="0"/>
        <v>0</v>
      </c>
    </row>
    <row r="14" spans="1:10" x14ac:dyDescent="0.4">
      <c r="B14" s="20" t="s">
        <v>18</v>
      </c>
      <c r="C14" s="20" t="s">
        <v>47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2">
        <v>0</v>
      </c>
      <c r="J14" s="17">
        <f t="shared" si="0"/>
        <v>0</v>
      </c>
    </row>
    <row r="15" spans="1:10" x14ac:dyDescent="0.4">
      <c r="B15" s="20" t="s">
        <v>20</v>
      </c>
      <c r="C15" s="20" t="s">
        <v>48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17">
        <f t="shared" si="0"/>
        <v>0</v>
      </c>
    </row>
    <row r="16" spans="1:10" x14ac:dyDescent="0.4">
      <c r="B16" s="20" t="s">
        <v>22</v>
      </c>
      <c r="C16" s="20" t="s">
        <v>49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17">
        <f t="shared" si="0"/>
        <v>0</v>
      </c>
    </row>
    <row r="17" spans="2:10" x14ac:dyDescent="0.4">
      <c r="B17" s="20" t="s">
        <v>24</v>
      </c>
      <c r="C17" s="20" t="s">
        <v>50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17">
        <f t="shared" si="0"/>
        <v>0</v>
      </c>
    </row>
    <row r="18" spans="2:10" x14ac:dyDescent="0.4">
      <c r="B18" s="20" t="s">
        <v>26</v>
      </c>
      <c r="C18" s="20" t="s">
        <v>51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17">
        <f t="shared" si="0"/>
        <v>0</v>
      </c>
    </row>
    <row r="19" spans="2:10" x14ac:dyDescent="0.4">
      <c r="B19" s="20" t="s">
        <v>28</v>
      </c>
      <c r="C19" s="20" t="s">
        <v>52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17">
        <f t="shared" si="0"/>
        <v>0</v>
      </c>
    </row>
    <row r="20" spans="2:10" x14ac:dyDescent="0.4">
      <c r="B20" s="20" t="s">
        <v>30</v>
      </c>
      <c r="C20" s="20" t="s">
        <v>53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17">
        <f t="shared" si="0"/>
        <v>0</v>
      </c>
    </row>
    <row r="21" spans="2:10" x14ac:dyDescent="0.4">
      <c r="B21" s="20" t="s">
        <v>6</v>
      </c>
      <c r="C21" s="20" t="s">
        <v>3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17">
        <f t="shared" si="0"/>
        <v>0</v>
      </c>
    </row>
    <row r="22" spans="2:10" x14ac:dyDescent="0.4">
      <c r="C22" s="24" t="s">
        <v>10</v>
      </c>
      <c r="D22" s="17">
        <f t="shared" ref="D22:J22" si="1">SUM(D5:D21)</f>
        <v>145125</v>
      </c>
      <c r="E22" s="17">
        <f t="shared" si="1"/>
        <v>127875</v>
      </c>
      <c r="F22" s="17">
        <f t="shared" si="1"/>
        <v>143750</v>
      </c>
      <c r="G22" s="17">
        <f t="shared" si="1"/>
        <v>230750</v>
      </c>
      <c r="H22" s="17">
        <f t="shared" si="1"/>
        <v>136125</v>
      </c>
      <c r="I22" s="17">
        <f t="shared" si="1"/>
        <v>138000</v>
      </c>
      <c r="J22" s="17">
        <f t="shared" si="1"/>
        <v>921625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FCC50-6E88-44C2-BC43-AAB394986DC3}">
  <sheetPr codeName="Sheet23"/>
  <dimension ref="A1:I22"/>
  <sheetViews>
    <sheetView workbookViewId="0"/>
  </sheetViews>
  <sheetFormatPr defaultRowHeight="18.75" x14ac:dyDescent="0.4"/>
  <cols>
    <col min="1" max="1" width="3.625" customWidth="1"/>
    <col min="2" max="2" width="18" bestFit="1" customWidth="1"/>
    <col min="3" max="8" width="11.5" customWidth="1"/>
    <col min="9" max="9" width="7.875" bestFit="1" customWidth="1"/>
  </cols>
  <sheetData>
    <row r="1" spans="1:9" x14ac:dyDescent="0.4">
      <c r="A1" t="s">
        <v>12</v>
      </c>
    </row>
    <row r="3" spans="1:9" x14ac:dyDescent="0.4">
      <c r="C3" s="22" t="s">
        <v>7</v>
      </c>
      <c r="D3" s="22"/>
      <c r="E3" s="22"/>
      <c r="F3" s="22"/>
      <c r="G3" s="22"/>
      <c r="H3" s="22"/>
    </row>
    <row r="4" spans="1:9" x14ac:dyDescent="0.4">
      <c r="B4" s="19" t="s">
        <v>5</v>
      </c>
      <c r="C4" s="23" t="s">
        <v>0</v>
      </c>
      <c r="D4" s="23" t="s">
        <v>36</v>
      </c>
      <c r="E4" s="23" t="s">
        <v>35</v>
      </c>
      <c r="F4" s="23" t="s">
        <v>37</v>
      </c>
      <c r="G4" s="23" t="s">
        <v>2</v>
      </c>
      <c r="H4" s="23" t="s">
        <v>1</v>
      </c>
      <c r="I4" s="21" t="s">
        <v>9</v>
      </c>
    </row>
    <row r="5" spans="1:9" x14ac:dyDescent="0.4">
      <c r="B5" s="20" t="s">
        <v>16</v>
      </c>
      <c r="C5" s="18">
        <v>4.75</v>
      </c>
      <c r="D5" s="18">
        <v>7</v>
      </c>
      <c r="E5" s="18">
        <v>4.5</v>
      </c>
      <c r="F5" s="18">
        <v>6.75</v>
      </c>
      <c r="G5" s="18">
        <v>6.5</v>
      </c>
      <c r="H5" s="18">
        <v>0</v>
      </c>
      <c r="I5" s="16">
        <f t="shared" ref="I5:I13" si="0">SUM(C5:H5)</f>
        <v>29.5</v>
      </c>
    </row>
    <row r="6" spans="1:9" x14ac:dyDescent="0.4">
      <c r="B6" s="20" t="s">
        <v>18</v>
      </c>
      <c r="C6" s="18">
        <v>0</v>
      </c>
      <c r="D6" s="18">
        <v>0</v>
      </c>
      <c r="E6" s="18">
        <v>7</v>
      </c>
      <c r="F6" s="18">
        <v>7.75</v>
      </c>
      <c r="G6" s="18">
        <v>5.5</v>
      </c>
      <c r="H6" s="18">
        <v>6.25</v>
      </c>
      <c r="I6" s="16">
        <f t="shared" si="0"/>
        <v>26.5</v>
      </c>
    </row>
    <row r="7" spans="1:9" x14ac:dyDescent="0.4">
      <c r="B7" s="20" t="s">
        <v>20</v>
      </c>
      <c r="C7" s="18">
        <v>4.75</v>
      </c>
      <c r="D7" s="18">
        <v>0</v>
      </c>
      <c r="E7" s="18">
        <v>5</v>
      </c>
      <c r="F7" s="18">
        <v>7</v>
      </c>
      <c r="G7" s="18">
        <v>6.75</v>
      </c>
      <c r="H7" s="18">
        <v>0</v>
      </c>
      <c r="I7" s="16">
        <f t="shared" si="0"/>
        <v>23.5</v>
      </c>
    </row>
    <row r="8" spans="1:9" x14ac:dyDescent="0.4">
      <c r="B8" s="20" t="s">
        <v>22</v>
      </c>
      <c r="C8" s="18">
        <v>10.5</v>
      </c>
      <c r="D8" s="18">
        <v>0</v>
      </c>
      <c r="E8" s="18">
        <v>12.25</v>
      </c>
      <c r="F8" s="18">
        <v>7.75</v>
      </c>
      <c r="G8" s="18">
        <v>0</v>
      </c>
      <c r="H8" s="18">
        <v>16</v>
      </c>
      <c r="I8" s="16">
        <f t="shared" si="0"/>
        <v>46.5</v>
      </c>
    </row>
    <row r="9" spans="1:9" x14ac:dyDescent="0.4">
      <c r="B9" s="20" t="s">
        <v>24</v>
      </c>
      <c r="C9" s="18">
        <v>6.5</v>
      </c>
      <c r="D9" s="18">
        <v>7</v>
      </c>
      <c r="E9" s="18">
        <v>0</v>
      </c>
      <c r="F9" s="18">
        <v>0</v>
      </c>
      <c r="G9" s="18">
        <v>0</v>
      </c>
      <c r="H9" s="18">
        <v>0</v>
      </c>
      <c r="I9" s="16">
        <f t="shared" si="0"/>
        <v>13.5</v>
      </c>
    </row>
    <row r="10" spans="1:9" x14ac:dyDescent="0.4">
      <c r="B10" s="20" t="s">
        <v>26</v>
      </c>
      <c r="C10" s="18">
        <v>5.75</v>
      </c>
      <c r="D10" s="18">
        <v>4</v>
      </c>
      <c r="E10" s="18">
        <v>0</v>
      </c>
      <c r="F10" s="18">
        <v>6.25</v>
      </c>
      <c r="G10" s="18">
        <v>6</v>
      </c>
      <c r="H10" s="18">
        <v>7.25</v>
      </c>
      <c r="I10" s="16">
        <f t="shared" si="0"/>
        <v>29.25</v>
      </c>
    </row>
    <row r="11" spans="1:9" x14ac:dyDescent="0.4">
      <c r="B11" s="20" t="s">
        <v>28</v>
      </c>
      <c r="C11" s="18">
        <v>0</v>
      </c>
      <c r="D11" s="18">
        <v>5.25</v>
      </c>
      <c r="E11" s="18">
        <v>0</v>
      </c>
      <c r="F11" s="18">
        <v>0</v>
      </c>
      <c r="G11" s="18">
        <v>0</v>
      </c>
      <c r="H11" s="18">
        <v>5</v>
      </c>
      <c r="I11" s="16">
        <f t="shared" si="0"/>
        <v>10.25</v>
      </c>
    </row>
    <row r="12" spans="1:9" x14ac:dyDescent="0.4">
      <c r="B12" s="20" t="s">
        <v>30</v>
      </c>
      <c r="C12" s="18">
        <v>0</v>
      </c>
      <c r="D12" s="18">
        <v>0</v>
      </c>
      <c r="E12" s="18">
        <v>0</v>
      </c>
      <c r="F12" s="18">
        <v>0</v>
      </c>
      <c r="G12" s="18">
        <v>0</v>
      </c>
      <c r="H12" s="18">
        <v>0</v>
      </c>
      <c r="I12" s="16">
        <f t="shared" si="0"/>
        <v>0</v>
      </c>
    </row>
    <row r="13" spans="1:9" x14ac:dyDescent="0.4">
      <c r="B13" s="20" t="s">
        <v>6</v>
      </c>
      <c r="C13" s="18">
        <v>0</v>
      </c>
      <c r="D13" s="18">
        <v>0</v>
      </c>
      <c r="E13" s="18">
        <v>0</v>
      </c>
      <c r="F13" s="18">
        <v>0</v>
      </c>
      <c r="G13" s="18">
        <v>0</v>
      </c>
      <c r="H13" s="18">
        <v>0</v>
      </c>
      <c r="I13" s="16">
        <f t="shared" si="0"/>
        <v>0</v>
      </c>
    </row>
    <row r="14" spans="1:9" x14ac:dyDescent="0.4">
      <c r="B14" s="21" t="s">
        <v>8</v>
      </c>
      <c r="C14" s="16">
        <f t="shared" ref="C14:I14" si="1">SUM(C5:C13)</f>
        <v>32.25</v>
      </c>
      <c r="D14" s="16">
        <f t="shared" si="1"/>
        <v>23.25</v>
      </c>
      <c r="E14" s="16">
        <f t="shared" si="1"/>
        <v>28.75</v>
      </c>
      <c r="F14" s="16">
        <f t="shared" si="1"/>
        <v>35.5</v>
      </c>
      <c r="G14" s="16">
        <f t="shared" si="1"/>
        <v>24.75</v>
      </c>
      <c r="H14" s="16">
        <f t="shared" si="1"/>
        <v>34.5</v>
      </c>
      <c r="I14" s="16">
        <f t="shared" si="1"/>
        <v>179</v>
      </c>
    </row>
    <row r="15" spans="1:9" x14ac:dyDescent="0.4">
      <c r="C15" s="18"/>
      <c r="D15" s="18"/>
      <c r="E15" s="18"/>
      <c r="F15" s="18"/>
      <c r="G15" s="18"/>
      <c r="H15" s="18"/>
      <c r="I15" s="18"/>
    </row>
    <row r="16" spans="1:9" x14ac:dyDescent="0.4">
      <c r="C16" s="18"/>
      <c r="D16" s="18"/>
      <c r="E16" s="18"/>
      <c r="F16" s="18"/>
      <c r="G16" s="18"/>
      <c r="H16" s="18"/>
      <c r="I16" s="18"/>
    </row>
    <row r="17" spans="3:9" x14ac:dyDescent="0.4">
      <c r="C17" s="18"/>
      <c r="D17" s="18"/>
      <c r="E17" s="18"/>
      <c r="F17" s="18"/>
      <c r="G17" s="18"/>
      <c r="H17" s="18"/>
      <c r="I17" s="18"/>
    </row>
    <row r="18" spans="3:9" x14ac:dyDescent="0.4">
      <c r="C18" s="18"/>
      <c r="D18" s="18"/>
      <c r="E18" s="18"/>
      <c r="F18" s="18"/>
      <c r="G18" s="18"/>
      <c r="H18" s="18"/>
      <c r="I18" s="18"/>
    </row>
    <row r="19" spans="3:9" x14ac:dyDescent="0.4">
      <c r="C19" s="18"/>
      <c r="D19" s="18"/>
      <c r="E19" s="18"/>
      <c r="F19" s="18"/>
      <c r="G19" s="18"/>
      <c r="H19" s="18"/>
      <c r="I19" s="18"/>
    </row>
    <row r="20" spans="3:9" x14ac:dyDescent="0.4">
      <c r="C20" s="18"/>
      <c r="D20" s="18"/>
      <c r="E20" s="18"/>
      <c r="F20" s="18"/>
      <c r="G20" s="18"/>
      <c r="H20" s="18"/>
      <c r="I20" s="18"/>
    </row>
    <row r="21" spans="3:9" x14ac:dyDescent="0.4">
      <c r="C21" s="18"/>
      <c r="D21" s="18"/>
      <c r="E21" s="18"/>
      <c r="F21" s="18"/>
      <c r="G21" s="18"/>
      <c r="H21" s="18"/>
      <c r="I21" s="18"/>
    </row>
    <row r="22" spans="3:9" x14ac:dyDescent="0.4">
      <c r="C22" s="18"/>
      <c r="D22" s="18"/>
      <c r="E22" s="18"/>
      <c r="F22" s="18"/>
      <c r="G22" s="18"/>
      <c r="H22" s="18"/>
      <c r="I22" s="18"/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74BE4B-E388-4BF1-8D2F-8A659E3753B3}">
  <sheetPr codeName="Sheet24"/>
  <dimension ref="A1:I22"/>
  <sheetViews>
    <sheetView workbookViewId="0"/>
  </sheetViews>
  <sheetFormatPr defaultRowHeight="18.75" x14ac:dyDescent="0.4"/>
  <cols>
    <col min="1" max="1" width="3.625" customWidth="1"/>
    <col min="2" max="2" width="21" bestFit="1" customWidth="1"/>
    <col min="3" max="8" width="11.5" customWidth="1"/>
    <col min="9" max="9" width="10.5" bestFit="1" customWidth="1"/>
  </cols>
  <sheetData>
    <row r="1" spans="1:9" x14ac:dyDescent="0.4">
      <c r="A1" t="s">
        <v>13</v>
      </c>
    </row>
    <row r="3" spans="1:9" x14ac:dyDescent="0.4">
      <c r="C3" s="22" t="s">
        <v>7</v>
      </c>
      <c r="D3" s="22"/>
      <c r="E3" s="22"/>
      <c r="F3" s="22"/>
      <c r="G3" s="22"/>
      <c r="H3" s="22"/>
    </row>
    <row r="4" spans="1:9" x14ac:dyDescent="0.4">
      <c r="B4" s="19" t="s">
        <v>5</v>
      </c>
      <c r="C4" s="23" t="s">
        <v>0</v>
      </c>
      <c r="D4" s="23" t="s">
        <v>36</v>
      </c>
      <c r="E4" s="23" t="s">
        <v>35</v>
      </c>
      <c r="F4" s="23" t="s">
        <v>37</v>
      </c>
      <c r="G4" s="23" t="s">
        <v>2</v>
      </c>
      <c r="H4" s="23" t="s">
        <v>1</v>
      </c>
      <c r="I4" s="24" t="s">
        <v>11</v>
      </c>
    </row>
    <row r="5" spans="1:9" x14ac:dyDescent="0.4">
      <c r="B5" s="20" t="s">
        <v>16</v>
      </c>
      <c r="C5" s="2">
        <v>21375</v>
      </c>
      <c r="D5" s="2">
        <v>38500</v>
      </c>
      <c r="E5" s="2">
        <v>22500</v>
      </c>
      <c r="F5" s="2">
        <v>43875</v>
      </c>
      <c r="G5" s="2">
        <v>35750</v>
      </c>
      <c r="H5" s="2">
        <v>0</v>
      </c>
      <c r="I5" s="17">
        <f t="shared" ref="I5:I13" si="0">SUM(C5:H5)</f>
        <v>162000</v>
      </c>
    </row>
    <row r="6" spans="1:9" x14ac:dyDescent="0.4">
      <c r="B6" s="20" t="s">
        <v>18</v>
      </c>
      <c r="C6" s="2">
        <v>0</v>
      </c>
      <c r="D6" s="2">
        <v>0</v>
      </c>
      <c r="E6" s="2">
        <v>35000</v>
      </c>
      <c r="F6" s="2">
        <v>50375</v>
      </c>
      <c r="G6" s="2">
        <v>30250</v>
      </c>
      <c r="H6" s="2">
        <v>25000</v>
      </c>
      <c r="I6" s="17">
        <f t="shared" si="0"/>
        <v>140625</v>
      </c>
    </row>
    <row r="7" spans="1:9" x14ac:dyDescent="0.4">
      <c r="B7" s="20" t="s">
        <v>20</v>
      </c>
      <c r="C7" s="2">
        <v>21375</v>
      </c>
      <c r="D7" s="2">
        <v>0</v>
      </c>
      <c r="E7" s="2">
        <v>25000</v>
      </c>
      <c r="F7" s="2">
        <v>45500</v>
      </c>
      <c r="G7" s="2">
        <v>37125</v>
      </c>
      <c r="H7" s="2">
        <v>0</v>
      </c>
      <c r="I7" s="17">
        <f t="shared" si="0"/>
        <v>129000</v>
      </c>
    </row>
    <row r="8" spans="1:9" x14ac:dyDescent="0.4">
      <c r="B8" s="20" t="s">
        <v>22</v>
      </c>
      <c r="C8" s="2">
        <v>47250</v>
      </c>
      <c r="D8" s="2">
        <v>0</v>
      </c>
      <c r="E8" s="2">
        <v>61250</v>
      </c>
      <c r="F8" s="2">
        <v>50375</v>
      </c>
      <c r="G8" s="2">
        <v>0</v>
      </c>
      <c r="H8" s="2">
        <v>64000</v>
      </c>
      <c r="I8" s="17">
        <f t="shared" si="0"/>
        <v>222875</v>
      </c>
    </row>
    <row r="9" spans="1:9" x14ac:dyDescent="0.4">
      <c r="B9" s="20" t="s">
        <v>24</v>
      </c>
      <c r="C9" s="2">
        <v>29250</v>
      </c>
      <c r="D9" s="2">
        <v>38500</v>
      </c>
      <c r="E9" s="2">
        <v>0</v>
      </c>
      <c r="F9" s="2">
        <v>0</v>
      </c>
      <c r="G9" s="2">
        <v>0</v>
      </c>
      <c r="H9" s="2">
        <v>0</v>
      </c>
      <c r="I9" s="17">
        <f t="shared" si="0"/>
        <v>67750</v>
      </c>
    </row>
    <row r="10" spans="1:9" x14ac:dyDescent="0.4">
      <c r="B10" s="20" t="s">
        <v>26</v>
      </c>
      <c r="C10" s="2">
        <v>25875</v>
      </c>
      <c r="D10" s="2">
        <v>22000</v>
      </c>
      <c r="E10" s="2">
        <v>0</v>
      </c>
      <c r="F10" s="2">
        <v>40625</v>
      </c>
      <c r="G10" s="2">
        <v>33000</v>
      </c>
      <c r="H10" s="2">
        <v>29000</v>
      </c>
      <c r="I10" s="17">
        <f t="shared" si="0"/>
        <v>150500</v>
      </c>
    </row>
    <row r="11" spans="1:9" x14ac:dyDescent="0.4">
      <c r="B11" s="20" t="s">
        <v>28</v>
      </c>
      <c r="C11" s="2">
        <v>0</v>
      </c>
      <c r="D11" s="2">
        <v>28875</v>
      </c>
      <c r="E11" s="2">
        <v>0</v>
      </c>
      <c r="F11" s="2">
        <v>0</v>
      </c>
      <c r="G11" s="2">
        <v>0</v>
      </c>
      <c r="H11" s="2">
        <v>20000</v>
      </c>
      <c r="I11" s="17">
        <f t="shared" si="0"/>
        <v>48875</v>
      </c>
    </row>
    <row r="12" spans="1:9" x14ac:dyDescent="0.4">
      <c r="B12" s="20" t="s">
        <v>30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17">
        <f t="shared" si="0"/>
        <v>0</v>
      </c>
    </row>
    <row r="13" spans="1:9" x14ac:dyDescent="0.4">
      <c r="B13" s="20" t="s">
        <v>6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s="17">
        <f t="shared" si="0"/>
        <v>0</v>
      </c>
    </row>
    <row r="14" spans="1:9" x14ac:dyDescent="0.4">
      <c r="B14" s="24" t="s">
        <v>10</v>
      </c>
      <c r="C14" s="17">
        <f t="shared" ref="C14:I14" si="1">SUM(C5:C13)</f>
        <v>145125</v>
      </c>
      <c r="D14" s="17">
        <f t="shared" si="1"/>
        <v>127875</v>
      </c>
      <c r="E14" s="17">
        <f t="shared" si="1"/>
        <v>143750</v>
      </c>
      <c r="F14" s="17">
        <f t="shared" si="1"/>
        <v>230750</v>
      </c>
      <c r="G14" s="17">
        <f t="shared" si="1"/>
        <v>136125</v>
      </c>
      <c r="H14" s="17">
        <f t="shared" si="1"/>
        <v>138000</v>
      </c>
      <c r="I14" s="17">
        <f t="shared" si="1"/>
        <v>921625</v>
      </c>
    </row>
    <row r="15" spans="1:9" x14ac:dyDescent="0.4">
      <c r="C15" s="2"/>
      <c r="D15" s="2"/>
      <c r="E15" s="2"/>
      <c r="F15" s="2"/>
      <c r="G15" s="2"/>
      <c r="H15" s="2"/>
      <c r="I15" s="2"/>
    </row>
    <row r="16" spans="1:9" x14ac:dyDescent="0.4">
      <c r="C16" s="2"/>
      <c r="D16" s="2"/>
      <c r="E16" s="2"/>
      <c r="F16" s="2"/>
      <c r="G16" s="2"/>
      <c r="H16" s="2"/>
      <c r="I16" s="2"/>
    </row>
    <row r="17" spans="3:9" x14ac:dyDescent="0.4">
      <c r="C17" s="2"/>
      <c r="D17" s="2"/>
      <c r="E17" s="2"/>
      <c r="F17" s="2"/>
      <c r="G17" s="2"/>
      <c r="H17" s="2"/>
      <c r="I17" s="2"/>
    </row>
    <row r="18" spans="3:9" x14ac:dyDescent="0.4">
      <c r="C18" s="2"/>
      <c r="D18" s="2"/>
      <c r="E18" s="2"/>
      <c r="F18" s="2"/>
      <c r="G18" s="2"/>
      <c r="H18" s="2"/>
      <c r="I18" s="2"/>
    </row>
    <row r="19" spans="3:9" x14ac:dyDescent="0.4">
      <c r="C19" s="2"/>
      <c r="D19" s="2"/>
      <c r="E19" s="2"/>
      <c r="F19" s="2"/>
      <c r="G19" s="2"/>
      <c r="H19" s="2"/>
      <c r="I19" s="2"/>
    </row>
    <row r="20" spans="3:9" x14ac:dyDescent="0.4">
      <c r="C20" s="2"/>
      <c r="D20" s="2"/>
      <c r="E20" s="2"/>
      <c r="F20" s="2"/>
      <c r="G20" s="2"/>
      <c r="H20" s="2"/>
      <c r="I20" s="2"/>
    </row>
    <row r="21" spans="3:9" x14ac:dyDescent="0.4">
      <c r="C21" s="2"/>
      <c r="D21" s="2"/>
      <c r="E21" s="2"/>
      <c r="F21" s="2"/>
      <c r="G21" s="2"/>
      <c r="H21" s="2"/>
      <c r="I21" s="2"/>
    </row>
    <row r="22" spans="3:9" x14ac:dyDescent="0.4">
      <c r="C22" s="2"/>
      <c r="D22" s="2"/>
      <c r="E22" s="2"/>
      <c r="F22" s="2"/>
      <c r="G22" s="2"/>
      <c r="H22" s="2"/>
      <c r="I22" s="2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レコード</vt:lpstr>
      <vt:lpstr>メンバー</vt:lpstr>
      <vt:lpstr>工程コード</vt:lpstr>
      <vt:lpstr>工数(工程コード別)</vt:lpstr>
      <vt:lpstr>コスト(工程コード別)</vt:lpstr>
      <vt:lpstr>工数(工程別)</vt:lpstr>
      <vt:lpstr>コスト(工程別)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sosogi kumagawa</dc:creator>
  <cp:lastModifiedBy>sosogi kumagawa</cp:lastModifiedBy>
  <dcterms:created xsi:type="dcterms:W3CDTF">2023-10-31T05:54:24Z</dcterms:created>
  <dcterms:modified xsi:type="dcterms:W3CDTF">2023-11-14T18:49:09Z</dcterms:modified>
</cp:coreProperties>
</file>